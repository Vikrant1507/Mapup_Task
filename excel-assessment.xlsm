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amee\Downloads\"/>
    </mc:Choice>
  </mc:AlternateContent>
  <xr:revisionPtr revIDLastSave="0" documentId="13_ncr:1_{DD98AADD-0C6A-4F94-8E85-774B3E2831E6}" xr6:coauthVersionLast="47" xr6:coauthVersionMax="47" xr10:uidLastSave="{00000000-0000-0000-0000-000000000000}"/>
  <bookViews>
    <workbookView xWindow="-110" yWindow="-110" windowWidth="19420" windowHeight="1030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3" i="20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D14" i="19"/>
  <c r="D22" i="19" s="1"/>
  <c r="D15" i="19"/>
  <c r="D16" i="19"/>
  <c r="D17" i="19"/>
  <c r="D18" i="19"/>
  <c r="D19" i="19"/>
  <c r="D20" i="19"/>
  <c r="D21" i="19"/>
  <c r="D13" i="19"/>
  <c r="C30" i="18"/>
  <c r="D30" i="18"/>
  <c r="E30" i="18"/>
  <c r="F30" i="18"/>
  <c r="B30" i="18"/>
  <c r="D29" i="18"/>
  <c r="C29" i="18"/>
  <c r="E29" i="18"/>
  <c r="F29" i="18"/>
  <c r="B29" i="18"/>
  <c r="B28" i="18"/>
  <c r="G17" i="18"/>
  <c r="C28" i="18"/>
  <c r="D28" i="18"/>
  <c r="E28" i="18"/>
  <c r="F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H4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Sameeksha Guleria</author>
  </authors>
  <commentList>
    <comment ref="J7" authorId="0" shapeId="0" xr:uid="{54778EB1-7600-419B-9FAD-03D4FDD88002}">
      <text>
        <r>
          <rPr>
            <sz val="9"/>
            <color indexed="81"/>
            <rFont val="Tahoma"/>
            <family val="2"/>
          </rPr>
          <t xml:space="preserve">Select the cell that contains the text.
Go to the Data tab and click on Text to Columns.
In the wizard:
Choose Delimited and click Next.
Select the Hyphen (-) as the delimiter and click Next.
Choose where you want the split data to appear (columns B through F) and click Finish.
This method will split the data into separate columns based on the hyphen delimiter.
</t>
        </r>
      </text>
    </comment>
  </commentList>
</comments>
</file>

<file path=xl/sharedStrings.xml><?xml version="1.0" encoding="utf-8"?>
<sst xmlns="http://schemas.openxmlformats.org/spreadsheetml/2006/main" count="405" uniqueCount="182">
  <si>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</si>
  <si>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</si>
  <si>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</si>
  <si>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</si>
  <si>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</si>
  <si>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</si>
  <si>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</si>
  <si>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</si>
  <si>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</si>
  <si>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</si>
  <si>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</si>
  <si>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</si>
  <si>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</si>
  <si>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</si>
  <si>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</si>
  <si>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</si>
  <si>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</si>
  <si>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</si>
  <si>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</si>
  <si>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</si>
  <si>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</si>
  <si>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</si>
  <si>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</si>
  <si>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</si>
  <si>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</si>
  <si>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</si>
  <si>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</si>
  <si>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</si>
  <si>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</si>
  <si>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</si>
  <si>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</si>
  <si>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</si>
  <si>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</si>
  <si>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</si>
  <si>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</si>
  <si>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</si>
  <si>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</si>
  <si>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</si>
  <si>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</si>
  <si>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</si>
  <si>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</si>
  <si>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</si>
  <si>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</si>
  <si>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</si>
  <si>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</si>
  <si>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</si>
  <si>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</si>
  <si>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</si>
  <si>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</si>
  <si>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</si>
  <si>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</si>
  <si>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</si>
  <si>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</si>
  <si>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</si>
  <si>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</si>
  <si>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</si>
  <si>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</si>
  <si>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</si>
  <si>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</si>
  <si>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</si>
  <si>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</si>
  <si>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</si>
  <si>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</si>
  <si>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</si>
  <si>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</si>
  <si>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</si>
  <si>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</si>
  <si>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</si>
  <si>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</si>
  <si>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</si>
  <si>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</si>
  <si>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</si>
  <si>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</si>
  <si>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</si>
  <si>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</si>
  <si>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</si>
  <si>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</si>
  <si>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</si>
  <si>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</si>
  <si>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</si>
  <si>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</si>
  <si>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</si>
  <si>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</si>
  <si>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</si>
  <si>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</si>
  <si>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</si>
  <si>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</si>
  <si>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</si>
  <si>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</si>
  <si>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</si>
  <si>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</si>
  <si>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</si>
  <si>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</si>
  <si>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</si>
  <si>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</si>
  <si>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</si>
  <si>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</si>
  <si>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</si>
  <si>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</si>
  <si>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</si>
  <si>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</si>
  <si>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</si>
  <si>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</si>
  <si>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</si>
  <si>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</si>
  <si>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</si>
  <si>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</si>
  <si>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</si>
  <si>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</si>
  <si>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</si>
  <si>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</si>
  <si>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</si>
  <si>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</si>
  <si>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</si>
  <si>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</si>
  <si>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</si>
  <si>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</si>
  <si>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</si>
  <si>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</si>
  <si>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</si>
  <si>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</si>
  <si>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</si>
  <si>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</si>
  <si>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</si>
  <si>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</si>
  <si>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</si>
  <si>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</si>
  <si>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</si>
  <si>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</si>
  <si>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</si>
  <si>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</si>
  <si>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</si>
  <si>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</si>
  <si>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</si>
  <si>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</si>
  <si>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</si>
  <si>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</si>
  <si>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</si>
  <si>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</si>
  <si>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</si>
  <si>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</si>
  <si>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</si>
  <si>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</si>
  <si>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</si>
  <si>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</si>
  <si>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</si>
  <si>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</si>
  <si>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</si>
  <si>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</si>
  <si>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</si>
  <si>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</si>
  <si>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</si>
  <si>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</si>
  <si>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</si>
  <si>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</si>
  <si>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</si>
  <si>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</si>
  <si>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</si>
  <si>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</si>
  <si>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</si>
  <si>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</si>
  <si>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</si>
  <si>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</si>
  <si>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</si>
  <si>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</si>
  <si>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</si>
  <si>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</si>
  <si>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</si>
  <si>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</si>
  <si>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</si>
  <si>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</si>
  <si>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</si>
  <si>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</si>
  <si>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</si>
  <si>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</si>
  <si>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</si>
  <si>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</si>
  <si>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SUMIF($H$2:$H$40,"&gt;20") Reference In Dataset Tab</t>
  </si>
  <si>
    <t>Select all dates from date then click right format cell Numbers tab go to custom write in Type box YYYY-MM-DD and then OK</t>
  </si>
  <si>
    <t>Tried This formula for the  but not working as expected so replaces Na with 20 individually by replicating sales field then we  getting exact output</t>
  </si>
  <si>
    <t>Formula/Functionality used:   IFERROR(INDEX($A$9:$J$18, MATCH(VLOOKUP(A2, $M$9:$N$18, 2, FALSE), N9, 0), MATCH(VLOOKUP(B2, M9:N18, 2, FALSE), N9, 0)), -1)</t>
  </si>
  <si>
    <t>SUM(IF(ISNUMBER(C12:C21), C12:C21, 20)) ISNUMBER(C12:C21): Checks if each cell in the range contains a number.
IF(ISNUMBER(C12:C21), C12:C21, 20): If a cell is a number, it uses its value; if not (like #N/A), it replaces it with 20.
SUM: Sums up all the values.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</si>
</sst>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2" fontId="3" fillId="0" borderId="0" xfId="0" applyNumberFormat="1" applyFont="1"/>
    <xf numFmtId="166" fontId="3" fillId="0" borderId="0" xfId="0" applyNumberFormat="1" applyFont="1"/>
    <xf numFmtId="0" fontId="7" fillId="5" borderId="7" xfId="0" applyFont="1" applyFill="1" applyBorder="1"/>
    <xf numFmtId="2" fontId="7" fillId="5" borderId="7" xfId="0" applyNumberFormat="1" applyFont="1" applyFill="1" applyBorder="1"/>
    <xf numFmtId="0" fontId="7" fillId="5" borderId="1" xfId="0" applyFont="1" applyFill="1" applyBorder="1"/>
    <xf numFmtId="0" fontId="3" fillId="0" borderId="0" xfId="0" applyFont="1" applyAlignment="1">
      <alignment wrapText="1"/>
    </xf>
    <xf numFmtId="0" fontId="3" fillId="0" borderId="1" xfId="0" applyFont="1" applyBorder="1" applyAlignment="1">
      <alignment horizontal="center"/>
    </xf>
    <xf numFmtId="1" fontId="3" fillId="0" borderId="1" xfId="0" applyNumberFormat="1" applyFont="1" applyBorder="1" applyAlignment="1">
      <alignment horizontal="center"/>
    </xf>
    <xf numFmtId="2" fontId="3" fillId="0" borderId="1" xfId="0" applyNumberFormat="1" applyFont="1" applyBorder="1" applyAlignment="1">
      <alignment horizontal="center"/>
    </xf>
    <xf numFmtId="1" fontId="3" fillId="0" borderId="1" xfId="0" applyNumberFormat="1" applyFont="1" applyBorder="1"/>
    <xf numFmtId="0" fontId="7" fillId="0" borderId="1" xfId="0" applyFont="1" applyBorder="1" applyAlignment="1">
      <alignment horizontal="center"/>
    </xf>
    <xf numFmtId="2" fontId="9" fillId="0" borderId="1" xfId="0" applyNumberFormat="1" applyFont="1" applyBorder="1" applyAlignment="1">
      <alignment horizontal="center"/>
    </xf>
    <xf numFmtId="1" fontId="9" fillId="0" borderId="0" xfId="0" applyNumberFormat="1" applyFont="1" applyAlignment="1">
      <alignment horizontal="center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FF0000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1892300</xdr:colOff>
      <xdr:row>6</xdr:row>
      <xdr:rowOff>146050</xdr:rowOff>
    </xdr:from>
    <xdr:to>
      <xdr:col>2</xdr:col>
      <xdr:colOff>5867400</xdr:colOff>
      <xdr:row>17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E9842F2-16F1-93CE-67A8-BF669F050C0B}"/>
            </a:ext>
          </a:extLst>
        </xdr:cNvPr>
        <xdr:cNvSpPr txBox="1"/>
      </xdr:nvSpPr>
      <xdr:spPr>
        <a:xfrm>
          <a:off x="6604000" y="1250950"/>
          <a:ext cx="3975100" cy="1993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b="1"/>
            <a:t>2. Freeze the top row</a:t>
          </a:r>
        </a:p>
        <a:p>
          <a:r>
            <a:rPr lang="en-IN"/>
            <a:t>Freezing the top row allows you to scroll through the data while keeping the headers visible.</a:t>
          </a:r>
        </a:p>
        <a:p>
          <a:endParaRPr lang="en-IN"/>
        </a:p>
        <a:p>
          <a:r>
            <a:rPr lang="en-IN" b="1"/>
            <a:t>Steps:</a:t>
          </a:r>
        </a:p>
        <a:p>
          <a:r>
            <a:rPr lang="en-IN"/>
            <a:t>Select the first row that contains your column headers.</a:t>
          </a:r>
        </a:p>
        <a:p>
          <a:r>
            <a:rPr lang="en-IN"/>
            <a:t>Go to the </a:t>
          </a:r>
          <a:r>
            <a:rPr lang="en-IN" b="1"/>
            <a:t>View</a:t>
          </a:r>
          <a:r>
            <a:rPr lang="en-IN"/>
            <a:t> tab in the ribbon.</a:t>
          </a:r>
        </a:p>
        <a:p>
          <a:r>
            <a:rPr lang="en-IN"/>
            <a:t>Click on </a:t>
          </a:r>
          <a:r>
            <a:rPr lang="en-IN" b="1"/>
            <a:t>Freeze Panes</a:t>
          </a:r>
          <a:r>
            <a:rPr lang="en-IN"/>
            <a:t> and then select </a:t>
          </a:r>
          <a:r>
            <a:rPr lang="en-IN" b="1"/>
            <a:t>Freeze Top Row</a:t>
          </a:r>
          <a:r>
            <a:rPr lang="en-IN"/>
            <a:t> from the dropdown.</a:t>
          </a:r>
        </a:p>
        <a:p>
          <a:pPr lvl="1"/>
          <a:r>
            <a:rPr lang="en-IN"/>
            <a:t>Now, when you scroll down, the top row (containing your headers) will remain visible.</a:t>
          </a:r>
        </a:p>
        <a:p>
          <a:endParaRPr lang="en-I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596900</xdr:colOff>
      <xdr:row>5</xdr:row>
      <xdr:rowOff>57150</xdr:rowOff>
    </xdr:from>
    <xdr:to>
      <xdr:col>13</xdr:col>
      <xdr:colOff>285750</xdr:colOff>
      <xdr:row>14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C606F85-E58A-1545-0095-EA1BCC644EC3}"/>
            </a:ext>
          </a:extLst>
        </xdr:cNvPr>
        <xdr:cNvSpPr txBox="1"/>
      </xdr:nvSpPr>
      <xdr:spPr>
        <a:xfrm>
          <a:off x="6616700" y="1092200"/>
          <a:ext cx="4578350" cy="204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400" b="1"/>
            <a:t>Explanation:</a:t>
          </a:r>
          <a:br>
            <a:rPr lang="en-IN"/>
          </a:br>
          <a:br>
            <a:rPr lang="en-IN"/>
          </a:br>
          <a:r>
            <a:rPr lang="en-IN"/>
            <a:t>Select the cell that contains the text.</a:t>
          </a:r>
        </a:p>
        <a:p>
          <a:r>
            <a:rPr lang="en-IN"/>
            <a:t>Go to the </a:t>
          </a:r>
          <a:r>
            <a:rPr lang="en-IN" b="1"/>
            <a:t>Data</a:t>
          </a:r>
          <a:r>
            <a:rPr lang="en-IN"/>
            <a:t> tab and click on </a:t>
          </a:r>
          <a:r>
            <a:rPr lang="en-IN" b="1"/>
            <a:t>Text to Columns</a:t>
          </a:r>
          <a:r>
            <a:rPr lang="en-IN"/>
            <a:t>.</a:t>
          </a:r>
        </a:p>
        <a:p>
          <a:r>
            <a:rPr lang="en-IN"/>
            <a:t>In the wizard:</a:t>
          </a:r>
        </a:p>
        <a:p>
          <a:pPr lvl="1"/>
          <a:r>
            <a:rPr lang="en-IN"/>
            <a:t>Choose </a:t>
          </a:r>
          <a:r>
            <a:rPr lang="en-IN" b="1"/>
            <a:t>Delimited</a:t>
          </a:r>
          <a:r>
            <a:rPr lang="en-IN"/>
            <a:t> and click </a:t>
          </a:r>
          <a:r>
            <a:rPr lang="en-IN" b="1"/>
            <a:t>Next</a:t>
          </a:r>
          <a:r>
            <a:rPr lang="en-IN"/>
            <a:t>.</a:t>
          </a:r>
        </a:p>
        <a:p>
          <a:pPr lvl="1"/>
          <a:r>
            <a:rPr lang="en-IN"/>
            <a:t>Select the </a:t>
          </a:r>
          <a:r>
            <a:rPr lang="en-IN" b="1"/>
            <a:t>Hyphen (-)</a:t>
          </a:r>
          <a:r>
            <a:rPr lang="en-IN"/>
            <a:t> as the delimiter and click </a:t>
          </a:r>
          <a:r>
            <a:rPr lang="en-IN" b="1"/>
            <a:t>Next</a:t>
          </a:r>
          <a:r>
            <a:rPr lang="en-IN"/>
            <a:t>.</a:t>
          </a:r>
        </a:p>
        <a:p>
          <a:pPr lvl="1"/>
          <a:r>
            <a:rPr lang="en-IN"/>
            <a:t>Choose where you want the split data to appear (columns B through F) and click </a:t>
          </a:r>
          <a:r>
            <a:rPr lang="en-IN" b="1"/>
            <a:t>Finish</a:t>
          </a:r>
          <a:r>
            <a:rPr lang="en-IN"/>
            <a:t>.</a:t>
          </a:r>
        </a:p>
        <a:p>
          <a:r>
            <a:rPr lang="en-IN"/>
            <a:t>This method will split the data into separate columns based on the hyphen delimiter.</a:t>
          </a:r>
        </a:p>
        <a:p>
          <a:endParaRPr lang="en-IN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493593</xdr:colOff>
      <xdr:row>18</xdr:row>
      <xdr:rowOff>161152</xdr:rowOff>
    </xdr:from>
    <xdr:to>
      <xdr:col>20</xdr:col>
      <xdr:colOff>19211</xdr:colOff>
      <xdr:row>50</xdr:row>
      <xdr:rowOff>65636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1A3871F-4F90-0238-0ECD-4FCFFC106F9B}"/>
            </a:ext>
          </a:extLst>
        </xdr:cNvPr>
        <xdr:cNvSpPr txBox="1"/>
      </xdr:nvSpPr>
      <xdr:spPr>
        <a:xfrm>
          <a:off x="8567164" y="3699009"/>
          <a:ext cx="6510618" cy="551969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b="1"/>
            <a:t>IFERROR</a:t>
          </a:r>
          <a:r>
            <a:rPr lang="en-IN"/>
            <a:t>:</a:t>
          </a:r>
        </a:p>
        <a:p>
          <a:pPr lvl="1"/>
          <a:r>
            <a:rPr lang="en-IN" b="1"/>
            <a:t>Purpose</a:t>
          </a:r>
          <a:r>
            <a:rPr lang="en-IN"/>
            <a:t>: This function handles errors in formulas. If the formula inside the IFERROR function produces an error, it returns -1 (as specified at the end of the formula). If no error occurs, the result of the INDEX function is returned.</a:t>
          </a:r>
        </a:p>
        <a:p>
          <a:pPr lvl="1"/>
          <a:r>
            <a:rPr lang="en-IN" b="1"/>
            <a:t>Example</a:t>
          </a:r>
          <a:r>
            <a:rPr lang="en-IN"/>
            <a:t>: If the INDEX function produces an error (e.g., due to a #N/A), this part ensures that the result returned is -1 instead of an error message.</a:t>
          </a:r>
        </a:p>
        <a:p>
          <a:r>
            <a:rPr lang="en-IN" b="1"/>
            <a:t>INDEX($A$9:$J$18, ...)</a:t>
          </a:r>
          <a:r>
            <a:rPr lang="en-IN"/>
            <a:t>:</a:t>
          </a:r>
        </a:p>
        <a:p>
          <a:pPr lvl="1"/>
          <a:r>
            <a:rPr lang="en-IN" b="1"/>
            <a:t>Purpose</a:t>
          </a:r>
          <a:r>
            <a:rPr lang="en-IN"/>
            <a:t>: INDEX returns the value from a specific row and column in the array </a:t>
          </a:r>
          <a:r>
            <a:rPr lang="en-IN" b="1"/>
            <a:t>$A$9:$J$18</a:t>
          </a:r>
          <a:r>
            <a:rPr lang="en-IN"/>
            <a:t>. The row and column numbers are determined by the two </a:t>
          </a:r>
          <a:r>
            <a:rPr lang="en-IN" b="1"/>
            <a:t>MATCH</a:t>
          </a:r>
          <a:r>
            <a:rPr lang="en-IN"/>
            <a:t> functions that follow.</a:t>
          </a:r>
        </a:p>
        <a:p>
          <a:pPr lvl="1"/>
          <a:r>
            <a:rPr lang="en-IN" b="1"/>
            <a:t>$A$9:$J$18</a:t>
          </a:r>
          <a:r>
            <a:rPr lang="en-IN"/>
            <a:t>: This is the data range where you're looking up the value.</a:t>
          </a:r>
        </a:p>
        <a:p>
          <a:r>
            <a:rPr lang="en-IN" b="1"/>
            <a:t>MATCH(VLOOKUP(A2, $M$9:$N$18, 2, FALSE), N9, 0)</a:t>
          </a:r>
          <a:r>
            <a:rPr lang="en-IN"/>
            <a:t>:</a:t>
          </a:r>
        </a:p>
        <a:p>
          <a:pPr lvl="1"/>
          <a:r>
            <a:rPr lang="en-IN" b="1"/>
            <a:t>Purpose</a:t>
          </a:r>
          <a:r>
            <a:rPr lang="en-IN"/>
            <a:t>: MATCH returns the position of a value within a range. Here, it looks for the value returned by the </a:t>
          </a:r>
          <a:r>
            <a:rPr lang="en-IN" b="1"/>
            <a:t>VLOOKUP</a:t>
          </a:r>
          <a:r>
            <a:rPr lang="en-IN"/>
            <a:t> function in the range </a:t>
          </a:r>
          <a:r>
            <a:rPr lang="en-IN" b="1"/>
            <a:t>N9</a:t>
          </a:r>
          <a:r>
            <a:rPr lang="en-IN"/>
            <a:t>.</a:t>
          </a:r>
        </a:p>
        <a:p>
          <a:pPr lvl="1"/>
          <a:r>
            <a:rPr lang="en-IN" b="1"/>
            <a:t>VLOOKUP(A2, $M$9:$N$18, 2, FALSE)</a:t>
          </a:r>
          <a:r>
            <a:rPr lang="en-IN"/>
            <a:t>: This VLOOKUP looks up the value in </a:t>
          </a:r>
          <a:r>
            <a:rPr lang="en-IN" b="1"/>
            <a:t>A2</a:t>
          </a:r>
          <a:r>
            <a:rPr lang="en-IN"/>
            <a:t> within the range </a:t>
          </a:r>
          <a:r>
            <a:rPr lang="en-IN" b="1"/>
            <a:t>$M$9:$N$18</a:t>
          </a:r>
          <a:r>
            <a:rPr lang="en-IN"/>
            <a:t> and returns the corresponding value from the second column of that range.</a:t>
          </a:r>
        </a:p>
        <a:p>
          <a:pPr lvl="1"/>
          <a:r>
            <a:rPr lang="en-IN" b="1"/>
            <a:t>N9</a:t>
          </a:r>
          <a:r>
            <a:rPr lang="en-IN"/>
            <a:t>: This range contains the value that the MATCH function is looking for.</a:t>
          </a:r>
        </a:p>
        <a:p>
          <a:r>
            <a:rPr lang="en-IN" b="1"/>
            <a:t>MATCH(VLOOKUP(B2, M9:N18, 2, FALSE), N9, 0)</a:t>
          </a:r>
          <a:r>
            <a:rPr lang="en-IN"/>
            <a:t>:</a:t>
          </a:r>
        </a:p>
        <a:p>
          <a:pPr lvl="1"/>
          <a:r>
            <a:rPr lang="en-IN" b="1"/>
            <a:t>Purpose</a:t>
          </a:r>
          <a:r>
            <a:rPr lang="en-IN"/>
            <a:t>: This is another MATCH function, which returns the column position. It works similarly to the previous MATCH function, except it looks up the value in </a:t>
          </a:r>
          <a:r>
            <a:rPr lang="en-IN" b="1"/>
            <a:t>B2</a:t>
          </a:r>
          <a:r>
            <a:rPr lang="en-IN"/>
            <a:t> using the VLOOKUP function in the range </a:t>
          </a:r>
          <a:r>
            <a:rPr lang="en-IN" b="1"/>
            <a:t>M9:N18</a:t>
          </a:r>
          <a:r>
            <a:rPr lang="en-IN"/>
            <a:t>.</a:t>
          </a:r>
        </a:p>
        <a:p>
          <a:pPr lvl="1"/>
          <a:r>
            <a:rPr lang="en-IN" b="1"/>
            <a:t>VLOOKUP(B2, M9:N18, 2, FALSE)</a:t>
          </a:r>
          <a:r>
            <a:rPr lang="en-IN"/>
            <a:t>: Looks up the value in </a:t>
          </a:r>
          <a:r>
            <a:rPr lang="en-IN" b="1"/>
            <a:t>B2</a:t>
          </a:r>
          <a:r>
            <a:rPr lang="en-IN"/>
            <a:t> within the range </a:t>
          </a:r>
          <a:r>
            <a:rPr lang="en-IN" b="1"/>
            <a:t>M9:N18</a:t>
          </a:r>
          <a:r>
            <a:rPr lang="en-IN"/>
            <a:t> and returns the corresponding value from the second column.</a:t>
          </a:r>
        </a:p>
        <a:p>
          <a:pPr lvl="1"/>
          <a:r>
            <a:rPr lang="en-IN" b="1"/>
            <a:t>N9</a:t>
          </a:r>
          <a:r>
            <a:rPr lang="en-IN"/>
            <a:t>: Again, this range contains the value that the MATCH function is looking for.</a:t>
          </a:r>
        </a:p>
        <a:p>
          <a:r>
            <a:rPr lang="en-IN" b="1"/>
            <a:t>-1</a:t>
          </a:r>
          <a:r>
            <a:rPr lang="en-IN"/>
            <a:t>:</a:t>
          </a:r>
        </a:p>
        <a:p>
          <a:pPr lvl="1"/>
          <a:r>
            <a:rPr lang="en-IN"/>
            <a:t>If there is an error (such as the INDEX or MATCH functions failing to find a match), the </a:t>
          </a:r>
          <a:r>
            <a:rPr lang="en-IN" b="1"/>
            <a:t>IFERROR</a:t>
          </a:r>
          <a:r>
            <a:rPr lang="en-IN"/>
            <a:t> function ensures that </a:t>
          </a:r>
          <a:r>
            <a:rPr lang="en-IN" b="1"/>
            <a:t>-1</a:t>
          </a:r>
          <a:r>
            <a:rPr lang="en-IN"/>
            <a:t> is returned instead of an error.</a:t>
          </a:r>
        </a:p>
        <a:p>
          <a:r>
            <a:rPr lang="en-IN" b="1"/>
            <a:t>Formula Workflow:</a:t>
          </a:r>
        </a:p>
        <a:p>
          <a:r>
            <a:rPr lang="en-IN" b="1"/>
            <a:t>Step 1</a:t>
          </a:r>
          <a:r>
            <a:rPr lang="en-IN"/>
            <a:t>: The formula first runs the VLOOKUP on </a:t>
          </a:r>
          <a:r>
            <a:rPr lang="en-IN" b="1"/>
            <a:t>A2</a:t>
          </a:r>
          <a:r>
            <a:rPr lang="en-IN"/>
            <a:t> and </a:t>
          </a:r>
          <a:r>
            <a:rPr lang="en-IN" b="1"/>
            <a:t>B2</a:t>
          </a:r>
          <a:r>
            <a:rPr lang="en-IN"/>
            <a:t> to find corresponding values in </a:t>
          </a:r>
          <a:r>
            <a:rPr lang="en-IN" b="1"/>
            <a:t>$M$9:$N$18</a:t>
          </a:r>
          <a:r>
            <a:rPr lang="en-IN"/>
            <a:t>.</a:t>
          </a:r>
        </a:p>
        <a:p>
          <a:r>
            <a:rPr lang="en-IN" b="1"/>
            <a:t>Step 2</a:t>
          </a:r>
          <a:r>
            <a:rPr lang="en-IN"/>
            <a:t>: The MATCH functions try to find the position of the result from the VLOOKUP functions in the range </a:t>
          </a:r>
          <a:r>
            <a:rPr lang="en-IN" b="1"/>
            <a:t>N9</a:t>
          </a:r>
          <a:r>
            <a:rPr lang="en-IN"/>
            <a:t>.</a:t>
          </a:r>
        </a:p>
        <a:p>
          <a:r>
            <a:rPr lang="en-IN" b="1"/>
            <a:t>Step 3</a:t>
          </a:r>
          <a:r>
            <a:rPr lang="en-IN"/>
            <a:t>: INDEX uses these positions to return a value from the range </a:t>
          </a:r>
          <a:r>
            <a:rPr lang="en-IN" b="1"/>
            <a:t>$A$9:$J$18</a:t>
          </a:r>
          <a:r>
            <a:rPr lang="en-IN"/>
            <a:t>.</a:t>
          </a:r>
        </a:p>
        <a:p>
          <a:r>
            <a:rPr lang="en-IN" b="1"/>
            <a:t>Step 4</a:t>
          </a:r>
          <a:r>
            <a:rPr lang="en-IN"/>
            <a:t>: If an error occurs at any point, </a:t>
          </a:r>
          <a:r>
            <a:rPr lang="en-IN" b="1"/>
            <a:t>IFERROR</a:t>
          </a:r>
          <a:r>
            <a:rPr lang="en-IN"/>
            <a:t> ensures that the formula returns </a:t>
          </a:r>
          <a:r>
            <a:rPr lang="en-IN" b="1"/>
            <a:t>-1</a:t>
          </a:r>
          <a:r>
            <a:rPr lang="en-IN"/>
            <a:t>.</a:t>
          </a:r>
        </a:p>
        <a:p>
          <a:endParaRPr lang="en-I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sqref="A1:B15"/>
    </sheetView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6" t="s">
        <v>170</v>
      </c>
      <c r="B9" s="26" t="s">
        <v>168</v>
      </c>
    </row>
    <row r="10" spans="1:3" x14ac:dyDescent="0.3">
      <c r="A10" s="35" t="s">
        <v>171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8"/>
  <sheetViews>
    <sheetView zoomScale="55" zoomScaleNormal="55" workbookViewId="0">
      <pane ySplit="1" topLeftCell="A11" activePane="bottomLeft" state="frozen"/>
      <selection activeCell="I1" sqref="I1"/>
      <selection pane="bottomLeft" activeCell="H41" sqref="H41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4" customWidth="1"/>
    <col min="5" max="5" width="9.19921875" style="1" bestFit="1" customWidth="1"/>
    <col min="6" max="6" width="10.3984375" style="24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1" bestFit="1" customWidth="1"/>
    <col min="25" max="16384" width="9" style="1"/>
  </cols>
  <sheetData>
    <row r="1" spans="1:24" s="3" customFormat="1" ht="14.75" customHeight="1" x14ac:dyDescent="0.35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3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7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7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7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7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7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7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7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7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7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1" spans="1:24" ht="18.5" x14ac:dyDescent="0.45">
      <c r="H41" s="43">
        <f>SUMIF($H$2:$H$40,"&gt;20")</f>
        <v>1473.0000000000002</v>
      </c>
    </row>
    <row r="44" spans="1:24" x14ac:dyDescent="0.35">
      <c r="G44" s="45"/>
    </row>
    <row r="45" spans="1:24" x14ac:dyDescent="0.35">
      <c r="G45" s="45"/>
    </row>
    <row r="46" spans="1:24" x14ac:dyDescent="0.35">
      <c r="G46" s="45"/>
    </row>
    <row r="47" spans="1:24" x14ac:dyDescent="0.35">
      <c r="G47" s="45"/>
    </row>
    <row r="48" spans="1:24" x14ac:dyDescent="0.35">
      <c r="G48" s="45"/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2:X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9" activeCellId="1" sqref="B10 C9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107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5">
      <c r="A2" s="2"/>
      <c r="B2" s="5" t="s">
        <v>159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4" t="s">
        <v>177</v>
      </c>
      <c r="E5" s="1">
        <v>10</v>
      </c>
    </row>
    <row r="6" spans="1:5" x14ac:dyDescent="0.35">
      <c r="A6" s="6">
        <v>4</v>
      </c>
      <c r="B6" s="2" t="s">
        <v>106</v>
      </c>
      <c r="C6" s="2" t="s">
        <v>178</v>
      </c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="70" zoomScaleNormal="70" workbookViewId="0">
      <selection activeCell="B19" sqref="B19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1" customFormat="1" ht="21" x14ac:dyDescent="0.5">
      <c r="A1" s="42" t="s">
        <v>55</v>
      </c>
      <c r="B1" s="41" t="s">
        <v>163</v>
      </c>
    </row>
    <row r="2" spans="1:7" s="41" customFormat="1" ht="21" x14ac:dyDescent="0.5">
      <c r="B2" s="41" t="s">
        <v>160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8" t="s">
        <v>161</v>
      </c>
      <c r="B4" s="1"/>
      <c r="C4" s="1"/>
      <c r="D4" s="1"/>
      <c r="E4" s="1"/>
      <c r="F4" s="1"/>
      <c r="G4" s="1"/>
    </row>
    <row r="5" spans="1:7" ht="14.5" x14ac:dyDescent="0.3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5" x14ac:dyDescent="0.35">
      <c r="A6" s="7" t="s">
        <v>40</v>
      </c>
      <c r="B6" s="12">
        <f>VLOOKUP($A6,Dataset!$A$1:$X$40,7,FALSE)</f>
        <v>2.7</v>
      </c>
      <c r="C6" s="12">
        <f>VLOOKUP($A6,Dataset!$A$1:$X$40,14,FALSE)</f>
        <v>7.6</v>
      </c>
      <c r="D6" s="12">
        <f>VLOOKUP($A6,Dataset!$A$1:$X$40,18,FALSE)</f>
        <v>4.2</v>
      </c>
      <c r="E6" s="12">
        <f>VLOOKUP($A6,Dataset!$A$1:$X$40,20,FALSE)</f>
        <v>8.9</v>
      </c>
      <c r="F6" s="8">
        <f>VLOOKUP($A6,Dataset!$A$1:$X$40,22,FALSE)</f>
        <v>4.2</v>
      </c>
    </row>
    <row r="7" spans="1:7" ht="14.5" x14ac:dyDescent="0.35">
      <c r="A7" s="7" t="s">
        <v>4</v>
      </c>
      <c r="B7" s="12">
        <f>VLOOKUP($A7,Dataset!$A$1:$X$40,7,FALSE)</f>
        <v>2.7</v>
      </c>
      <c r="C7" s="12">
        <f>VLOOKUP($A7,Dataset!$A$1:$X$40,14,FALSE)</f>
        <v>7.6</v>
      </c>
      <c r="D7" s="12">
        <f>VLOOKUP($A7,Dataset!$A$1:$X$40,18,FALSE)</f>
        <v>4.2</v>
      </c>
      <c r="E7" s="12">
        <f>VLOOKUP($A7,Dataset!$A$1:$X$40,20,FALSE)</f>
        <v>8.9</v>
      </c>
      <c r="F7" s="8">
        <f>VLOOKUP($A7,Dataset!$A$1:$X$40,22,FALSE)</f>
        <v>4.2</v>
      </c>
    </row>
    <row r="8" spans="1:7" ht="14.5" x14ac:dyDescent="0.35">
      <c r="A8" s="7" t="s">
        <v>7</v>
      </c>
      <c r="B8" s="12">
        <f>VLOOKUP($A8,Dataset!$A$1:$X$40,7,FALSE)</f>
        <v>3.6</v>
      </c>
      <c r="C8" s="12">
        <f>VLOOKUP($A8,Dataset!$A$1:$X$40,14,FALSE)</f>
        <v>11.1</v>
      </c>
      <c r="D8" s="12">
        <f>VLOOKUP($A8,Dataset!$A$1:$X$40,18,FALSE)</f>
        <v>5.8</v>
      </c>
      <c r="E8" s="12">
        <f>VLOOKUP($A8,Dataset!$A$1:$X$40,20,FALSE)</f>
        <v>12.2</v>
      </c>
      <c r="F8" s="8">
        <f>VLOOKUP($A8,Dataset!$A$1:$X$40,22,FALSE)</f>
        <v>5.8</v>
      </c>
    </row>
    <row r="9" spans="1:7" ht="14.5" x14ac:dyDescent="0.35">
      <c r="A9" s="7" t="s">
        <v>8</v>
      </c>
      <c r="B9" s="12">
        <f>VLOOKUP($A9,Dataset!$A$1:$X$40,7,FALSE)</f>
        <v>4.9000000000000004</v>
      </c>
      <c r="C9" s="12">
        <f>VLOOKUP($A9,Dataset!$A$1:$X$40,14,FALSE)</f>
        <v>13.3</v>
      </c>
      <c r="D9" s="12">
        <f>VLOOKUP($A9,Dataset!$A$1:$X$40,18,FALSE)</f>
        <v>8.1</v>
      </c>
      <c r="E9" s="12">
        <f>VLOOKUP($A9,Dataset!$A$1:$X$40,20,FALSE)</f>
        <v>17</v>
      </c>
      <c r="F9" s="8">
        <f>VLOOKUP($A9,Dataset!$A$1:$X$40,22,FALSE)</f>
        <v>8.1</v>
      </c>
    </row>
    <row r="10" spans="1:7" ht="14.5" x14ac:dyDescent="0.35">
      <c r="A10" s="7" t="s">
        <v>11</v>
      </c>
      <c r="B10" s="12">
        <f>VLOOKUP($A10,Dataset!$A$1:$X$40,7,FALSE)</f>
        <v>9.4</v>
      </c>
      <c r="C10" s="12">
        <f>VLOOKUP($A10,Dataset!$A$1:$X$40,14,FALSE)</f>
        <v>28.3</v>
      </c>
      <c r="D10" s="12">
        <f>VLOOKUP($A10,Dataset!$A$1:$X$40,18,FALSE)</f>
        <v>16.100000000000001</v>
      </c>
      <c r="E10" s="12">
        <f>VLOOKUP($A10,Dataset!$A$1:$X$40,20,FALSE)</f>
        <v>32.799999999999997</v>
      </c>
      <c r="F10" s="8">
        <f>VLOOKUP($A10,Dataset!$A$1:$X$40,22,FALSE)</f>
        <v>16.100000000000001</v>
      </c>
    </row>
    <row r="11" spans="1:7" ht="14.5" x14ac:dyDescent="0.35">
      <c r="A11" s="7" t="s">
        <v>12</v>
      </c>
      <c r="B11" s="12">
        <f>VLOOKUP($A11,Dataset!$A$1:$X$40,7,FALSE)</f>
        <v>11.6</v>
      </c>
      <c r="C11" s="12">
        <f>VLOOKUP($A11,Dataset!$A$1:$X$40,14,FALSE)</f>
        <v>35.200000000000003</v>
      </c>
      <c r="D11" s="12">
        <f>VLOOKUP($A11,Dataset!$A$1:$X$40,18,FALSE)</f>
        <v>21.3</v>
      </c>
      <c r="E11" s="12">
        <f>VLOOKUP($A11,Dataset!$A$1:$X$40,20,FALSE)</f>
        <v>43</v>
      </c>
      <c r="F11" s="8">
        <f>VLOOKUP($A11,Dataset!$A$1:$X$40,22,FALSE)</f>
        <v>21.3</v>
      </c>
    </row>
    <row r="12" spans="1:7" ht="14.5" x14ac:dyDescent="0.35">
      <c r="A12" s="7" t="s">
        <v>14</v>
      </c>
      <c r="B12" s="12">
        <f>VLOOKUP($A12,Dataset!$A$1:$X$40,7,FALSE)</f>
        <v>18.399999999999999</v>
      </c>
      <c r="C12" s="12">
        <f>VLOOKUP($A12,Dataset!$A$1:$X$40,14,FALSE)</f>
        <v>55.6</v>
      </c>
      <c r="D12" s="12">
        <f>VLOOKUP($A12,Dataset!$A$1:$X$40,18,FALSE)</f>
        <v>33.799999999999997</v>
      </c>
      <c r="E12" s="12">
        <f>VLOOKUP($A12,Dataset!$A$1:$X$40,20,FALSE)</f>
        <v>67.900000000000006</v>
      </c>
      <c r="F12" s="8">
        <f>VLOOKUP($A12,Dataset!$A$1:$X$40,22,FALSE)</f>
        <v>33.799999999999997</v>
      </c>
    </row>
    <row r="13" spans="1:7" ht="14.5" x14ac:dyDescent="0.35">
      <c r="A13" s="7" t="s">
        <v>15</v>
      </c>
      <c r="B13" s="12">
        <f>VLOOKUP($A13,Dataset!$A$1:$X$40,7,FALSE)</f>
        <v>0</v>
      </c>
      <c r="C13" s="12">
        <f>VLOOKUP($A13,Dataset!$A$1:$X$40,14,FALSE)</f>
        <v>0</v>
      </c>
      <c r="D13" s="12">
        <f>VLOOKUP($A13,Dataset!$A$1:$X$40,18,FALSE)</f>
        <v>0</v>
      </c>
      <c r="E13" s="12">
        <f>VLOOKUP($A13,Dataset!$A$1:$X$40,20,FALSE)</f>
        <v>0</v>
      </c>
      <c r="F13" s="8">
        <f>VLOOKUP($A13,Dataset!$A$1:$X$40,22,FALSE)</f>
        <v>0</v>
      </c>
    </row>
    <row r="14" spans="1:7" ht="14.5" x14ac:dyDescent="0.35">
      <c r="A14" s="7" t="s">
        <v>16</v>
      </c>
      <c r="B14" s="12">
        <f>VLOOKUP($A14,Dataset!$A$1:$X$40,7,FALSE)</f>
        <v>21.9</v>
      </c>
      <c r="C14" s="12">
        <f>VLOOKUP($A14,Dataset!$A$1:$X$40,14,FALSE)</f>
        <v>61.5</v>
      </c>
      <c r="D14" s="12">
        <f>VLOOKUP($A14,Dataset!$A$1:$X$40,18,FALSE)</f>
        <v>40.1</v>
      </c>
      <c r="E14" s="12">
        <f>VLOOKUP($A14,Dataset!$A$1:$X$40,20,FALSE)</f>
        <v>76.599999999999994</v>
      </c>
      <c r="F14" s="8">
        <f>VLOOKUP($A14,Dataset!$A$1:$X$40,22,FALSE)</f>
        <v>40.1</v>
      </c>
    </row>
    <row r="15" spans="1:7" ht="14.5" x14ac:dyDescent="0.35">
      <c r="A15" s="7" t="s">
        <v>18</v>
      </c>
      <c r="B15" s="12">
        <f>VLOOKUP($A15,Dataset!$A$1:$X$40,7,FALSE)</f>
        <v>26.8</v>
      </c>
      <c r="C15" s="12">
        <f>VLOOKUP($A15,Dataset!$A$1:$X$40,14,FALSE)</f>
        <v>79.599999999999994</v>
      </c>
      <c r="D15" s="12">
        <f>VLOOKUP($A15,Dataset!$A$1:$X$40,18,FALSE)</f>
        <v>47.9</v>
      </c>
      <c r="E15" s="12">
        <f>VLOOKUP($A15,Dataset!$A$1:$X$40,20,FALSE)</f>
        <v>96.8</v>
      </c>
      <c r="F15" s="8">
        <f>VLOOKUP($A15,Dataset!$A$1:$X$40,22,FALSE)</f>
        <v>47.9</v>
      </c>
    </row>
    <row r="16" spans="1:7" ht="14.5" x14ac:dyDescent="0.35">
      <c r="A16" s="7" t="s">
        <v>20</v>
      </c>
      <c r="B16" s="12">
        <f>VLOOKUP($A16,Dataset!$A$1:$X$40,7,FALSE)</f>
        <v>28.5</v>
      </c>
      <c r="C16" s="12">
        <f>VLOOKUP($A16,Dataset!$A$1:$X$40,14,FALSE)</f>
        <v>85.4</v>
      </c>
      <c r="D16" s="12">
        <f>VLOOKUP($A16,Dataset!$A$1:$X$40,18,FALSE)</f>
        <v>52.3</v>
      </c>
      <c r="E16" s="12">
        <f>VLOOKUP($A16,Dataset!$A$1:$X$40,20,FALSE)</f>
        <v>106.1</v>
      </c>
      <c r="F16" s="8">
        <f>VLOOKUP($A16,Dataset!$A$1:$X$40,22,FALSE)</f>
        <v>52.3</v>
      </c>
    </row>
    <row r="17" spans="1:7" ht="14.5" x14ac:dyDescent="0.35">
      <c r="A17" s="7" t="s">
        <v>22</v>
      </c>
      <c r="B17" s="12">
        <f>VLOOKUP($A17,Dataset!$A$1:$X$40,7,FALSE)</f>
        <v>30.7</v>
      </c>
      <c r="C17" s="12">
        <f>VLOOKUP($A17,Dataset!$A$1:$X$40,14,FALSE)</f>
        <v>92.1</v>
      </c>
      <c r="D17" s="12">
        <f>VLOOKUP($A17,Dataset!$A$1:$X$40,18,FALSE)</f>
        <v>57</v>
      </c>
      <c r="E17" s="12">
        <f>VLOOKUP($A17,Dataset!$A$1:$X$40,20,FALSE)</f>
        <v>115.1</v>
      </c>
      <c r="F17" s="8">
        <f>VLOOKUP($A17,Dataset!$A$1:$X$40,22,FALSE)</f>
        <v>57</v>
      </c>
      <c r="G17" s="2">
        <f>AVERAGE(F6:F27)</f>
        <v>37.800000000000004</v>
      </c>
    </row>
    <row r="18" spans="1:7" ht="14.5" x14ac:dyDescent="0.35">
      <c r="A18" s="7" t="s">
        <v>23</v>
      </c>
      <c r="B18" s="12">
        <f>VLOOKUP($A18,Dataset!$A$1:$X$40,7,FALSE)</f>
        <v>33.799999999999997</v>
      </c>
      <c r="C18" s="12">
        <f>VLOOKUP($A18,Dataset!$A$1:$X$40,14,FALSE)</f>
        <v>101.3</v>
      </c>
      <c r="D18" s="12">
        <f>VLOOKUP($A18,Dataset!$A$1:$X$40,18,FALSE)</f>
        <v>61.4</v>
      </c>
      <c r="E18" s="12">
        <f>VLOOKUP($A18,Dataset!$A$1:$X$40,20,FALSE)</f>
        <v>124.4</v>
      </c>
      <c r="F18" s="8">
        <f>VLOOKUP($A18,Dataset!$A$1:$X$40,22,FALSE)</f>
        <v>61.4</v>
      </c>
    </row>
    <row r="19" spans="1:7" ht="14.5" x14ac:dyDescent="0.35">
      <c r="A19" s="7" t="s">
        <v>24</v>
      </c>
      <c r="B19" s="12">
        <f>VLOOKUP($A19,Dataset!$A$1:$X$40,7,FALSE)</f>
        <v>34.700000000000003</v>
      </c>
      <c r="C19" s="12">
        <f>VLOOKUP($A19,Dataset!$A$1:$X$40,14,FALSE)</f>
        <v>106.1</v>
      </c>
      <c r="D19" s="12">
        <f>VLOOKUP($A19,Dataset!$A$1:$X$40,18,FALSE)</f>
        <v>63.6</v>
      </c>
      <c r="E19" s="12">
        <f>VLOOKUP($A19,Dataset!$A$1:$X$40,20,FALSE)</f>
        <v>128.6</v>
      </c>
      <c r="F19" s="8">
        <f>VLOOKUP($A19,Dataset!$A$1:$X$40,22,FALSE)</f>
        <v>63.6</v>
      </c>
    </row>
    <row r="20" spans="1:7" ht="14.5" x14ac:dyDescent="0.35">
      <c r="A20" s="7" t="s">
        <v>28</v>
      </c>
      <c r="B20" s="12">
        <f>VLOOKUP($A20,Dataset!$A$1:$X$40,7,FALSE)</f>
        <v>0</v>
      </c>
      <c r="C20" s="12">
        <f>VLOOKUP($A20,Dataset!$A$1:$X$40,14,FALSE)</f>
        <v>0</v>
      </c>
      <c r="D20" s="12">
        <f>VLOOKUP($A20,Dataset!$A$1:$X$40,18,FALSE)</f>
        <v>0</v>
      </c>
      <c r="E20" s="12">
        <f>VLOOKUP($A20,Dataset!$A$1:$X$40,20,FALSE)</f>
        <v>0</v>
      </c>
      <c r="F20" s="8">
        <f>VLOOKUP($A20,Dataset!$A$1:$X$40,22,FALSE)</f>
        <v>0</v>
      </c>
    </row>
    <row r="21" spans="1:7" ht="14.5" x14ac:dyDescent="0.35">
      <c r="A21" s="7" t="s">
        <v>57</v>
      </c>
      <c r="B21" s="12">
        <f>VLOOKUP($A21,Dataset!$A$1:$X$40,7,FALSE)</f>
        <v>41.3</v>
      </c>
      <c r="C21" s="12">
        <f>VLOOKUP($A21,Dataset!$A$1:$X$40,14,FALSE)</f>
        <v>124.4</v>
      </c>
      <c r="D21" s="12">
        <f>VLOOKUP($A21,Dataset!$A$1:$X$40,18,FALSE)</f>
        <v>75</v>
      </c>
      <c r="E21" s="12">
        <f>VLOOKUP($A21,Dataset!$A$1:$X$40,20,FALSE)</f>
        <v>151.5</v>
      </c>
      <c r="F21" s="8">
        <f>VLOOKUP($A21,Dataset!$A$1:$X$40,22,FALSE)</f>
        <v>75</v>
      </c>
    </row>
    <row r="22" spans="1:7" ht="14.5" x14ac:dyDescent="0.35">
      <c r="A22" s="7" t="s">
        <v>58</v>
      </c>
      <c r="B22" s="12">
        <f>VLOOKUP($A22,Dataset!$A$1:$X$40,7,FALSE)</f>
        <v>-1</v>
      </c>
      <c r="C22" s="12">
        <f>VLOOKUP($A22,Dataset!$A$1:$X$40,14,FALSE)</f>
        <v>-1</v>
      </c>
      <c r="D22" s="12">
        <f>VLOOKUP($A22,Dataset!$A$1:$X$40,18,FALSE)</f>
        <v>-1</v>
      </c>
      <c r="E22" s="12">
        <f>VLOOKUP($A22,Dataset!$A$1:$X$40,20,FALSE)</f>
        <v>-1</v>
      </c>
      <c r="F22" s="8">
        <f>VLOOKUP($A22,Dataset!$A$1:$X$40,22,FALSE)</f>
        <v>-1</v>
      </c>
    </row>
    <row r="23" spans="1:7" ht="14.5" x14ac:dyDescent="0.35">
      <c r="A23" s="7" t="s">
        <v>31</v>
      </c>
      <c r="B23" s="12">
        <f>VLOOKUP($A23,Dataset!$A$1:$X$40,7,FALSE)</f>
        <v>45</v>
      </c>
      <c r="C23" s="12">
        <f>VLOOKUP($A23,Dataset!$A$1:$X$40,14,FALSE)</f>
        <v>133.4</v>
      </c>
      <c r="D23" s="12">
        <f>VLOOKUP($A23,Dataset!$A$1:$X$40,18,FALSE)</f>
        <v>79.400000000000006</v>
      </c>
      <c r="E23" s="12">
        <f>VLOOKUP($A23,Dataset!$A$1:$X$40,20,FALSE)</f>
        <v>160.9</v>
      </c>
      <c r="F23" s="8">
        <f>VLOOKUP($A23,Dataset!$A$1:$X$40,22,FALSE)</f>
        <v>79.400000000000006</v>
      </c>
    </row>
    <row r="24" spans="1:7" ht="14.5" x14ac:dyDescent="0.35">
      <c r="A24" s="7" t="s">
        <v>32</v>
      </c>
      <c r="B24" s="12">
        <f>VLOOKUP($A24,Dataset!$A$1:$X$40,7,FALSE)</f>
        <v>-1</v>
      </c>
      <c r="C24" s="12">
        <f>VLOOKUP($A24,Dataset!$A$1:$X$40,14,FALSE)</f>
        <v>-1</v>
      </c>
      <c r="D24" s="12">
        <f>VLOOKUP($A24,Dataset!$A$1:$X$40,18,FALSE)</f>
        <v>-1</v>
      </c>
      <c r="E24" s="12">
        <f>VLOOKUP($A24,Dataset!$A$1:$X$40,20,FALSE)</f>
        <v>-1</v>
      </c>
      <c r="F24" s="8">
        <f>VLOOKUP($A24,Dataset!$A$1:$X$40,22,FALSE)</f>
        <v>-1</v>
      </c>
    </row>
    <row r="25" spans="1:7" ht="14.5" x14ac:dyDescent="0.35">
      <c r="A25" s="7" t="s">
        <v>34</v>
      </c>
      <c r="B25" s="12">
        <f>VLOOKUP($A25,Dataset!$A$1:$X$40,7,FALSE)</f>
        <v>43.3</v>
      </c>
      <c r="C25" s="12">
        <f>VLOOKUP($A25,Dataset!$A$1:$X$40,14,FALSE)</f>
        <v>128.6</v>
      </c>
      <c r="D25" s="12">
        <f>VLOOKUP($A25,Dataset!$A$1:$X$40,18,FALSE)</f>
        <v>79.400000000000006</v>
      </c>
      <c r="E25" s="12">
        <f>VLOOKUP($A25,Dataset!$A$1:$X$40,20,FALSE)</f>
        <v>160.9</v>
      </c>
      <c r="F25" s="8">
        <f>VLOOKUP($A25,Dataset!$A$1:$X$40,22,FALSE)</f>
        <v>79.400000000000006</v>
      </c>
    </row>
    <row r="26" spans="1:7" ht="14.5" x14ac:dyDescent="0.35">
      <c r="A26" s="7" t="s">
        <v>37</v>
      </c>
      <c r="B26" s="12">
        <f>VLOOKUP($A26,Dataset!$A$1:$X$40,7,FALSE)</f>
        <v>49.1</v>
      </c>
      <c r="C26" s="12">
        <f>VLOOKUP($A26,Dataset!$A$1:$X$40,14,FALSE)</f>
        <v>146.80000000000001</v>
      </c>
      <c r="D26" s="12">
        <f>VLOOKUP($A26,Dataset!$A$1:$X$40,18,FALSE)</f>
        <v>90.9</v>
      </c>
      <c r="E26" s="12">
        <f>VLOOKUP($A26,Dataset!$A$1:$X$40,20,FALSE)</f>
        <v>183.5</v>
      </c>
      <c r="F26" s="8">
        <f>VLOOKUP($A26,Dataset!$A$1:$X$40,22,FALSE)</f>
        <v>90.9</v>
      </c>
    </row>
    <row r="27" spans="1:7" ht="14.5" x14ac:dyDescent="0.35">
      <c r="A27" s="7" t="s">
        <v>39</v>
      </c>
      <c r="B27" s="12">
        <f>VLOOKUP($A27,Dataset!$A$1:$X$40,7,FALSE)</f>
        <v>51.8</v>
      </c>
      <c r="C27" s="12">
        <f>VLOOKUP($A27,Dataset!$A$1:$X$40,14,FALSE)</f>
        <v>156.4</v>
      </c>
      <c r="D27" s="12">
        <f>VLOOKUP($A27,Dataset!$A$1:$X$40,18,FALSE)</f>
        <v>93.1</v>
      </c>
      <c r="E27" s="12">
        <f>VLOOKUP($A27,Dataset!$A$1:$X$40,20,FALSE)</f>
        <v>188.1</v>
      </c>
      <c r="F27" s="8">
        <f>VLOOKUP($A27,Dataset!$A$1:$X$40,22,FALSE)</f>
        <v>93.1</v>
      </c>
    </row>
    <row r="28" spans="1:7" ht="14.5" x14ac:dyDescent="0.35">
      <c r="A28" s="49" t="s">
        <v>82</v>
      </c>
      <c r="B28" s="47">
        <f>MIN(B$6:B$27)</f>
        <v>-1</v>
      </c>
      <c r="C28" s="47">
        <f t="shared" ref="C28:F28" si="0">MIN(C$6:C$27)</f>
        <v>-1</v>
      </c>
      <c r="D28" s="47">
        <f t="shared" si="0"/>
        <v>-1</v>
      </c>
      <c r="E28" s="47">
        <f t="shared" si="0"/>
        <v>-1</v>
      </c>
      <c r="F28" s="47">
        <f t="shared" si="0"/>
        <v>-1</v>
      </c>
    </row>
    <row r="29" spans="1:7" ht="14.5" x14ac:dyDescent="0.35">
      <c r="A29" s="49" t="s">
        <v>83</v>
      </c>
      <c r="B29" s="47">
        <f>MAX(B$6:B$27)</f>
        <v>51.8</v>
      </c>
      <c r="C29" s="47">
        <f>MAX(C$6:C$27)</f>
        <v>156.4</v>
      </c>
      <c r="D29" s="47">
        <f>MAX(D$6:D$27)</f>
        <v>93.1</v>
      </c>
      <c r="E29" s="47">
        <f t="shared" ref="E29:F29" si="1">MAX(E$6:E$27)</f>
        <v>188.1</v>
      </c>
      <c r="F29" s="47">
        <f t="shared" si="1"/>
        <v>93.1</v>
      </c>
    </row>
    <row r="30" spans="1:7" ht="14.5" x14ac:dyDescent="0.35">
      <c r="A30" s="49" t="s">
        <v>84</v>
      </c>
      <c r="B30" s="48">
        <f>AVERAGE(B$6:B$27)</f>
        <v>20.827272727272728</v>
      </c>
      <c r="C30" s="48">
        <f t="shared" ref="C30:F30" si="2">AVERAGE(C$6:C$27)</f>
        <v>62.377272727272725</v>
      </c>
      <c r="D30" s="48">
        <f t="shared" si="2"/>
        <v>37.800000000000004</v>
      </c>
      <c r="E30" s="48">
        <f t="shared" si="2"/>
        <v>76.418181818181822</v>
      </c>
      <c r="F30" s="48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4" zoomScaleNormal="100" workbookViewId="0">
      <selection activeCell="F8" sqref="F8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1" customFormat="1" ht="21" x14ac:dyDescent="0.5">
      <c r="A1" s="42" t="s">
        <v>56</v>
      </c>
      <c r="B1" s="41" t="s">
        <v>173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150</v>
      </c>
    </row>
    <row r="5" spans="1:10" ht="18.5" x14ac:dyDescent="0.45">
      <c r="A5" s="43" t="s">
        <v>53</v>
      </c>
      <c r="B5" s="40"/>
    </row>
    <row r="6" spans="1:10" ht="18.5" x14ac:dyDescent="0.45">
      <c r="A6" s="43" t="s">
        <v>152</v>
      </c>
      <c r="B6" s="40"/>
    </row>
    <row r="7" spans="1:10" ht="18.5" x14ac:dyDescent="0.45">
      <c r="A7" s="43"/>
      <c r="B7" s="40"/>
    </row>
    <row r="9" spans="1:10" ht="23.5" x14ac:dyDescent="0.55000000000000004">
      <c r="A9" s="18" t="s">
        <v>164</v>
      </c>
      <c r="I9" s="2"/>
      <c r="J9" s="2"/>
    </row>
    <row r="10" spans="1:10" x14ac:dyDescent="0.3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5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5" x14ac:dyDescent="0.55000000000000004">
      <c r="A14" s="18" t="s">
        <v>161</v>
      </c>
    </row>
    <row r="15" spans="1:10" x14ac:dyDescent="0.3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5">
      <c r="A16" s="7" t="s">
        <v>120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5">
      <c r="A17" s="7" t="s">
        <v>121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5">
      <c r="A18" s="7" t="s">
        <v>122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5">
      <c r="A19" s="7" t="s">
        <v>123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5">
      <c r="A20" s="7" t="s">
        <v>124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5">
      <c r="A21" s="7" t="s">
        <v>125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5">
      <c r="A22" s="7" t="s">
        <v>126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5">
      <c r="A23" s="7" t="s">
        <v>127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5">
      <c r="A24" s="7" t="s">
        <v>128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5">
      <c r="A25" s="7" t="s">
        <v>129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5">
      <c r="A26" s="7" t="s">
        <v>130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5">
      <c r="A27" s="7" t="s">
        <v>131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5">
      <c r="A28" s="7" t="s">
        <v>132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5">
      <c r="A29" s="7" t="s">
        <v>133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5">
      <c r="A30" s="7" t="s">
        <v>134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5">
      <c r="A31" s="7" t="s">
        <v>135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5">
      <c r="A32" s="7" t="s">
        <v>136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5">
      <c r="A33" s="7" t="s">
        <v>137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5">
      <c r="A34" s="7" t="s">
        <v>138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5">
      <c r="A35" s="7" t="s">
        <v>139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5">
      <c r="A36" s="7" t="s">
        <v>140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5">
      <c r="A37" s="7" t="s">
        <v>141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5">
      <c r="A38" s="7" t="s">
        <v>142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5">
      <c r="A39" s="7" t="s">
        <v>143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5">
      <c r="A40" s="7" t="s">
        <v>144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5">
      <c r="A41" s="7" t="s">
        <v>145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5">
      <c r="A42" s="7" t="s">
        <v>146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5">
      <c r="A43" s="7" t="s">
        <v>147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5">
      <c r="A44" s="7" t="s">
        <v>148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5">
      <c r="A45" s="7" t="s">
        <v>149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5">
      <c r="A46" s="7" t="s">
        <v>111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5">
      <c r="A47" s="7" t="s">
        <v>112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5">
      <c r="A48" s="7" t="s">
        <v>113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5">
      <c r="A49" s="7" t="s">
        <v>114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5">
      <c r="A50" s="7" t="s">
        <v>115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5">
      <c r="A51" s="7" t="s">
        <v>116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5">
      <c r="A52" s="7" t="s">
        <v>117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5">
      <c r="A53" s="7" t="s">
        <v>118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5">
      <c r="A54" s="9" t="s">
        <v>119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2"/>
  <sheetViews>
    <sheetView zoomScale="70" zoomScaleNormal="70" workbookViewId="0">
      <selection activeCell="A7" sqref="A7"/>
    </sheetView>
  </sheetViews>
  <sheetFormatPr defaultColWidth="11" defaultRowHeight="13" x14ac:dyDescent="0.3"/>
  <cols>
    <col min="1" max="1" width="28.19921875" style="2" bestFit="1" customWidth="1"/>
    <col min="2" max="2" width="140.09765625" style="2" bestFit="1" customWidth="1"/>
    <col min="3" max="3" width="125.3984375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4" ht="21" x14ac:dyDescent="0.5">
      <c r="A1" s="42" t="s">
        <v>85</v>
      </c>
      <c r="B1" s="41" t="s">
        <v>166</v>
      </c>
    </row>
    <row r="2" spans="1:4" ht="18.5" x14ac:dyDescent="0.45">
      <c r="B2" s="40" t="s">
        <v>165</v>
      </c>
    </row>
    <row r="5" spans="1:4" ht="14.5" x14ac:dyDescent="0.35">
      <c r="B5" s="1" t="s">
        <v>150</v>
      </c>
    </row>
    <row r="6" spans="1:4" ht="43.5" x14ac:dyDescent="0.35">
      <c r="A6" s="3" t="s">
        <v>53</v>
      </c>
      <c r="B6" s="50" t="s">
        <v>181</v>
      </c>
    </row>
    <row r="7" spans="1:4" ht="14.5" x14ac:dyDescent="0.35">
      <c r="A7" s="3" t="s">
        <v>152</v>
      </c>
      <c r="B7" s="50" t="s">
        <v>179</v>
      </c>
    </row>
    <row r="10" spans="1:4" ht="23.5" x14ac:dyDescent="0.55000000000000004">
      <c r="A10" s="18" t="s">
        <v>161</v>
      </c>
    </row>
    <row r="11" spans="1:4" ht="14.5" x14ac:dyDescent="0.35">
      <c r="A11" s="32" t="s">
        <v>86</v>
      </c>
      <c r="B11" s="51" t="s">
        <v>87</v>
      </c>
      <c r="C11" s="51" t="s">
        <v>88</v>
      </c>
      <c r="D11" s="17" t="s">
        <v>88</v>
      </c>
    </row>
    <row r="12" spans="1:4" ht="14.5" x14ac:dyDescent="0.35">
      <c r="A12" s="32">
        <v>44927</v>
      </c>
      <c r="B12" s="51" t="s">
        <v>59</v>
      </c>
      <c r="C12" s="52">
        <v>200</v>
      </c>
      <c r="D12" s="54">
        <v>200</v>
      </c>
    </row>
    <row r="13" spans="1:4" ht="14.5" x14ac:dyDescent="0.35">
      <c r="A13" s="32">
        <v>44928</v>
      </c>
      <c r="B13" s="51" t="s">
        <v>60</v>
      </c>
      <c r="C13" s="52" t="e">
        <v>#N/A</v>
      </c>
      <c r="D13" s="54">
        <f>IFERROR(C12:C21, 20)</f>
        <v>20</v>
      </c>
    </row>
    <row r="14" spans="1:4" ht="14.5" x14ac:dyDescent="0.35">
      <c r="A14" s="32">
        <v>44929</v>
      </c>
      <c r="B14" s="51" t="s">
        <v>61</v>
      </c>
      <c r="C14" s="52">
        <v>50</v>
      </c>
      <c r="D14" s="54">
        <f>IFERROR(C13:C22, 20)</f>
        <v>50</v>
      </c>
    </row>
    <row r="15" spans="1:4" ht="14.5" x14ac:dyDescent="0.35">
      <c r="A15" s="32">
        <v>44930</v>
      </c>
      <c r="B15" s="51" t="s">
        <v>62</v>
      </c>
      <c r="C15" s="52" t="e">
        <v>#N/A</v>
      </c>
      <c r="D15" s="54">
        <f t="shared" ref="D15:D21" si="0">IFERROR(C14:C23, 20)</f>
        <v>20</v>
      </c>
    </row>
    <row r="16" spans="1:4" ht="14.5" x14ac:dyDescent="0.35">
      <c r="A16" s="32">
        <v>44931</v>
      </c>
      <c r="B16" s="51" t="s">
        <v>63</v>
      </c>
      <c r="C16" s="52">
        <v>10</v>
      </c>
      <c r="D16" s="54">
        <f t="shared" si="0"/>
        <v>10</v>
      </c>
    </row>
    <row r="17" spans="1:4" ht="14.5" x14ac:dyDescent="0.35">
      <c r="A17" s="32">
        <v>44932</v>
      </c>
      <c r="B17" s="51" t="s">
        <v>153</v>
      </c>
      <c r="C17" s="52">
        <v>150</v>
      </c>
      <c r="D17" s="54">
        <f t="shared" si="0"/>
        <v>150</v>
      </c>
    </row>
    <row r="18" spans="1:4" ht="14.5" x14ac:dyDescent="0.35">
      <c r="A18" s="32">
        <v>44933</v>
      </c>
      <c r="B18" s="51" t="s">
        <v>154</v>
      </c>
      <c r="C18" s="52">
        <v>80</v>
      </c>
      <c r="D18" s="54">
        <f t="shared" si="0"/>
        <v>80</v>
      </c>
    </row>
    <row r="19" spans="1:4" ht="14.5" x14ac:dyDescent="0.35">
      <c r="A19" s="32">
        <v>44934</v>
      </c>
      <c r="B19" s="51" t="s">
        <v>155</v>
      </c>
      <c r="C19" s="52" t="e">
        <v>#N/A</v>
      </c>
      <c r="D19" s="54">
        <f t="shared" si="0"/>
        <v>20</v>
      </c>
    </row>
    <row r="20" spans="1:4" ht="14.5" x14ac:dyDescent="0.35">
      <c r="A20" s="32">
        <v>44935</v>
      </c>
      <c r="B20" s="51" t="s">
        <v>156</v>
      </c>
      <c r="C20" s="52">
        <v>30</v>
      </c>
      <c r="D20" s="54">
        <f t="shared" si="0"/>
        <v>30</v>
      </c>
    </row>
    <row r="21" spans="1:4" ht="14.5" x14ac:dyDescent="0.35">
      <c r="A21" s="32">
        <v>44936</v>
      </c>
      <c r="B21" s="51" t="s">
        <v>157</v>
      </c>
      <c r="C21" s="53" t="e">
        <v>#N/A</v>
      </c>
      <c r="D21" s="54">
        <f t="shared" si="0"/>
        <v>20</v>
      </c>
    </row>
    <row r="22" spans="1:4" ht="14.5" x14ac:dyDescent="0.35">
      <c r="B22" s="55" t="s">
        <v>158</v>
      </c>
      <c r="C22" s="56"/>
      <c r="D22" s="57">
        <f>SUM(D12:D21)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="70" zoomScaleNormal="70" workbookViewId="0">
      <selection activeCell="R5" sqref="R5"/>
    </sheetView>
  </sheetViews>
  <sheetFormatPr defaultColWidth="11" defaultRowHeight="13" x14ac:dyDescent="0.3"/>
  <cols>
    <col min="1" max="1" width="28.19921875" style="2" bestFit="1" customWidth="1"/>
    <col min="2" max="2" width="11" style="2" customWidth="1"/>
    <col min="3" max="16384" width="11" style="2"/>
  </cols>
  <sheetData>
    <row r="1" spans="1:14" ht="21" x14ac:dyDescent="0.5">
      <c r="A1" s="42" t="s">
        <v>98</v>
      </c>
      <c r="B1" s="41" t="s">
        <v>174</v>
      </c>
    </row>
    <row r="3" spans="1:14" ht="14.5" x14ac:dyDescent="0.35">
      <c r="B3" s="1" t="s">
        <v>150</v>
      </c>
    </row>
    <row r="4" spans="1:14" ht="18.5" x14ac:dyDescent="0.45">
      <c r="A4" s="43" t="s">
        <v>180</v>
      </c>
      <c r="B4" s="1"/>
    </row>
    <row r="5" spans="1:14" ht="18.5" x14ac:dyDescent="0.45">
      <c r="A5" s="43" t="s">
        <v>152</v>
      </c>
      <c r="B5" s="1"/>
    </row>
    <row r="6" spans="1:14" ht="14.5" x14ac:dyDescent="0.35">
      <c r="A6" s="3"/>
      <c r="B6" s="1"/>
    </row>
    <row r="8" spans="1:14" ht="23.5" x14ac:dyDescent="0.55000000000000004">
      <c r="A8" s="18" t="s">
        <v>161</v>
      </c>
      <c r="M8" s="18" t="s">
        <v>162</v>
      </c>
    </row>
    <row r="9" spans="1:14" ht="14.5" x14ac:dyDescent="0.3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5" x14ac:dyDescent="0.3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5" x14ac:dyDescent="0.3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5" x14ac:dyDescent="0.3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5" x14ac:dyDescent="0.3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5" x14ac:dyDescent="0.3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5" x14ac:dyDescent="0.3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5" x14ac:dyDescent="0.3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5" x14ac:dyDescent="0.3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5" x14ac:dyDescent="0.3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5" x14ac:dyDescent="0.55000000000000004">
      <c r="A21" s="18" t="s">
        <v>167</v>
      </c>
    </row>
    <row r="22" spans="1:14" ht="14.5" x14ac:dyDescent="0.35">
      <c r="A22" s="14" t="s">
        <v>100</v>
      </c>
      <c r="B22" s="17" t="s">
        <v>101</v>
      </c>
      <c r="C22" s="16" t="s">
        <v>102</v>
      </c>
    </row>
    <row r="23" spans="1:14" ht="14.5" x14ac:dyDescent="0.35">
      <c r="A23" s="7">
        <v>10100</v>
      </c>
      <c r="B23" s="12">
        <v>10102</v>
      </c>
      <c r="C23" s="44">
        <f>IFERROR(INDEX($A$9:$J$18, MATCH(VLOOKUP(A2, $M$9:$N$18, 2, FALSE), N9, 0), MATCH(VLOOKUP(B2, M9:N18, 2, FALSE), N9, 0)), -1)</f>
        <v>-1</v>
      </c>
    </row>
    <row r="24" spans="1:14" ht="14.5" x14ac:dyDescent="0.35">
      <c r="A24" s="7">
        <v>10100</v>
      </c>
      <c r="B24" s="12">
        <v>10104</v>
      </c>
      <c r="C24" s="44">
        <f t="shared" ref="C24:C35" si="0">IFERROR(INDEX($A$9:$J$18, MATCH(VLOOKUP(A3, $M$9:$N$18, 2, FALSE), N10, 0), MATCH(VLOOKUP(B3, M10:N19, 2, FALSE), N10, 0)), -1)</f>
        <v>-1</v>
      </c>
    </row>
    <row r="25" spans="1:14" ht="14.5" x14ac:dyDescent="0.35">
      <c r="A25" s="7">
        <v>10108</v>
      </c>
      <c r="B25" s="12">
        <v>10102</v>
      </c>
      <c r="C25" s="44">
        <f t="shared" si="0"/>
        <v>-1</v>
      </c>
    </row>
    <row r="26" spans="1:14" ht="14.5" x14ac:dyDescent="0.35">
      <c r="A26" s="7">
        <v>10100</v>
      </c>
      <c r="B26" s="12">
        <v>10106</v>
      </c>
      <c r="C26" s="44">
        <f t="shared" si="0"/>
        <v>-1</v>
      </c>
    </row>
    <row r="27" spans="1:14" ht="14.5" x14ac:dyDescent="0.35">
      <c r="A27" s="7">
        <v>10108</v>
      </c>
      <c r="B27" s="12">
        <v>10110</v>
      </c>
      <c r="C27" s="44">
        <f t="shared" si="0"/>
        <v>-1</v>
      </c>
    </row>
    <row r="28" spans="1:14" ht="14.5" x14ac:dyDescent="0.35">
      <c r="A28" s="7">
        <v>10102</v>
      </c>
      <c r="B28" s="12">
        <v>10104</v>
      </c>
      <c r="C28" s="44">
        <f t="shared" si="0"/>
        <v>-1</v>
      </c>
    </row>
    <row r="29" spans="1:14" ht="14.5" x14ac:dyDescent="0.35">
      <c r="A29" s="7">
        <v>10106</v>
      </c>
      <c r="B29" s="12">
        <v>10108</v>
      </c>
      <c r="C29" s="44">
        <f t="shared" si="0"/>
        <v>-1</v>
      </c>
    </row>
    <row r="30" spans="1:14" ht="14.5" x14ac:dyDescent="0.35">
      <c r="A30" s="7">
        <v>10102</v>
      </c>
      <c r="B30" s="12">
        <v>10106</v>
      </c>
      <c r="C30" s="44">
        <f t="shared" si="0"/>
        <v>-1</v>
      </c>
    </row>
    <row r="31" spans="1:14" ht="14.5" x14ac:dyDescent="0.35">
      <c r="A31" s="7">
        <v>10110</v>
      </c>
      <c r="B31" s="12">
        <v>10114</v>
      </c>
      <c r="C31" s="44">
        <f t="shared" si="0"/>
        <v>-1</v>
      </c>
    </row>
    <row r="32" spans="1:14" ht="14.5" x14ac:dyDescent="0.35">
      <c r="A32" s="7">
        <v>10104</v>
      </c>
      <c r="B32" s="12">
        <v>10106</v>
      </c>
      <c r="C32" s="44">
        <f t="shared" si="0"/>
        <v>-1</v>
      </c>
    </row>
    <row r="33" spans="1:3" ht="14.5" x14ac:dyDescent="0.35">
      <c r="A33" s="7">
        <v>10110</v>
      </c>
      <c r="B33" s="12">
        <v>10112</v>
      </c>
      <c r="C33" s="44">
        <f t="shared" si="0"/>
        <v>-1</v>
      </c>
    </row>
    <row r="34" spans="1:3" ht="14.5" x14ac:dyDescent="0.35">
      <c r="A34" s="7">
        <v>10100</v>
      </c>
      <c r="B34" s="12">
        <v>10114</v>
      </c>
      <c r="C34" s="44">
        <f t="shared" si="0"/>
        <v>-1</v>
      </c>
    </row>
    <row r="35" spans="1:3" ht="14.5" x14ac:dyDescent="0.35">
      <c r="A35" s="9">
        <v>10112</v>
      </c>
      <c r="B35" s="13">
        <v>10116</v>
      </c>
      <c r="C35" s="44">
        <f t="shared" si="0"/>
        <v>-1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Sameeksha Guleria</cp:lastModifiedBy>
  <dcterms:created xsi:type="dcterms:W3CDTF">2015-02-10T17:33:11Z</dcterms:created>
  <dcterms:modified xsi:type="dcterms:W3CDTF">2024-10-25T08:46:57Z</dcterms:modified>
</cp:coreProperties>
</file>